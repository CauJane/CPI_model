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1200"/>
  </bookViews>
  <sheets>
    <sheet name="registration duration" sheetId="1" r:id="rId1"/>
  </sheets>
  <definedNames>
    <definedName name="_xlnm._FilterDatabase" localSheetId="0" hidden="1">'registration duration'!$A$1:$H$79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<sst xmlns="http://schemas.openxmlformats.org/spreadsheetml/2006/main" count="164" uniqueCount="21">
  <si>
    <t>Pesticides</t>
  </si>
  <si>
    <t>Type</t>
  </si>
  <si>
    <t>Registration_years</t>
  </si>
  <si>
    <t>Survey_years</t>
  </si>
  <si>
    <t>Registration_durations</t>
  </si>
  <si>
    <t>Exceedance_index</t>
  </si>
  <si>
    <t>Maximum_values_of_recommended_dosages_(g/ha/yr)</t>
  </si>
  <si>
    <t>Annual_application_rates_(g/ha/yr)</t>
  </si>
  <si>
    <t>Carbosulfan</t>
  </si>
  <si>
    <t>Insecticides</t>
  </si>
  <si>
    <t>Dicofol</t>
  </si>
  <si>
    <t>Dimethoate</t>
  </si>
  <si>
    <t>Chlordimeform</t>
  </si>
  <si>
    <t>Chlorpyrifos</t>
  </si>
  <si>
    <t>Fipronil</t>
  </si>
  <si>
    <t>Omethoate</t>
  </si>
  <si>
    <t>Methamidophos</t>
  </si>
  <si>
    <t>Paraquat</t>
  </si>
  <si>
    <t>Herbicides</t>
  </si>
  <si>
    <t>Phoxim</t>
  </si>
  <si>
    <t>Phorate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</si>
</sst>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0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/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workbookViewId="0">
      <pane ySplit="1" topLeftCell="A2" activePane="bottomLeft" state="frozen"/>
      <selection/>
      <selection pane="bottomLeft" activeCell="C1" sqref="C$1:C$1048576"/>
    </sheetView>
  </sheetViews>
  <sheetFormatPr defaultColWidth="8.63392857142857" defaultRowHeight="15.2" outlineLevelCol="7"/>
  <cols>
    <col min="1" max="1" width="13.7142857142857" style="1" customWidth="1"/>
    <col min="2" max="2" width="9.78571428571429" style="1" customWidth="1"/>
    <col min="3" max="3" width="15.7142857142857" style="1" customWidth="1"/>
    <col min="4" max="4" width="11.5714285714286" style="1" customWidth="1"/>
    <col min="5" max="5" width="19.0714285714286" style="1" customWidth="1"/>
    <col min="6" max="6" width="15.1428571428571" style="1" customWidth="1"/>
    <col min="7" max="7" width="42.9285714285714" style="1" customWidth="1"/>
    <col min="8" max="8" width="21.8571428571429" style="1" customWidth="1"/>
    <col min="9" max="16384" width="8.63392857142857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</row>
    <row r="2" ht="13" customHeight="1" spans="1:8">
      <c r="A2" s="2" t="s">
        <v>8</v>
      </c>
      <c r="B2" s="3" t="s">
        <v>9</v>
      </c>
      <c r="C2" s="1">
        <v>2017</v>
      </c>
      <c r="D2" s="1">
        <v>2019</v>
      </c>
      <c r="E2" s="1">
        <f>D2-C2</f>
        <v>2</v>
      </c>
      <c r="F2" s="6">
        <f>H2/G2</f>
        <v>5.14285714285714</v>
      </c>
      <c r="G2" s="1">
        <v>420</v>
      </c>
      <c r="H2" s="7">
        <v>2160</v>
      </c>
    </row>
    <row r="3" s="1" customFormat="1" ht="13" customHeight="1" spans="1:8">
      <c r="A3" s="2" t="s">
        <v>8</v>
      </c>
      <c r="B3" s="3" t="s">
        <v>9</v>
      </c>
      <c r="C3" s="1">
        <v>2017</v>
      </c>
      <c r="D3" s="1">
        <v>2020</v>
      </c>
      <c r="E3" s="1">
        <v>3</v>
      </c>
      <c r="F3" s="6">
        <f t="shared" ref="F3:F66" si="0">H3/G3</f>
        <v>3.9047619047619</v>
      </c>
      <c r="G3" s="1">
        <v>420</v>
      </c>
      <c r="H3" s="1">
        <v>1640</v>
      </c>
    </row>
    <row r="4" ht="13" customHeight="1" spans="1:8">
      <c r="A4" s="2" t="s">
        <v>10</v>
      </c>
      <c r="B4" s="3" t="s">
        <v>9</v>
      </c>
      <c r="C4" s="1">
        <v>2002</v>
      </c>
      <c r="D4" s="1">
        <v>2020</v>
      </c>
      <c r="E4" s="1">
        <f t="shared" ref="E4:E49" si="1">D4-C4</f>
        <v>18</v>
      </c>
      <c r="F4" s="6">
        <f t="shared" si="0"/>
        <v>0.009</v>
      </c>
      <c r="G4" s="1">
        <v>1200</v>
      </c>
      <c r="H4" s="7">
        <v>10.8</v>
      </c>
    </row>
    <row r="5" ht="13" customHeight="1" spans="1:8">
      <c r="A5" s="2" t="s">
        <v>10</v>
      </c>
      <c r="B5" s="3" t="s">
        <v>9</v>
      </c>
      <c r="C5" s="1">
        <v>2002</v>
      </c>
      <c r="D5" s="1">
        <v>2019</v>
      </c>
      <c r="E5" s="1">
        <f t="shared" si="1"/>
        <v>17</v>
      </c>
      <c r="F5" s="6">
        <f t="shared" si="0"/>
        <v>0.15</v>
      </c>
      <c r="G5" s="1">
        <v>1200</v>
      </c>
      <c r="H5" s="1">
        <v>180</v>
      </c>
    </row>
    <row r="6" ht="13" customHeight="1" spans="1:8">
      <c r="A6" s="2" t="s">
        <v>10</v>
      </c>
      <c r="B6" s="3" t="s">
        <v>9</v>
      </c>
      <c r="C6" s="1">
        <v>2002</v>
      </c>
      <c r="D6" s="1">
        <v>2019</v>
      </c>
      <c r="E6" s="1">
        <f t="shared" si="1"/>
        <v>17</v>
      </c>
      <c r="F6" s="6">
        <f t="shared" si="0"/>
        <v>0.225</v>
      </c>
      <c r="G6" s="1">
        <v>1200</v>
      </c>
      <c r="H6" s="1">
        <v>270</v>
      </c>
    </row>
    <row r="7" ht="13" customHeight="1" spans="1:8">
      <c r="A7" s="2" t="s">
        <v>10</v>
      </c>
      <c r="B7" s="3" t="s">
        <v>9</v>
      </c>
      <c r="C7" s="1">
        <v>2002</v>
      </c>
      <c r="D7" s="1">
        <v>2019</v>
      </c>
      <c r="E7" s="1">
        <f t="shared" si="1"/>
        <v>17</v>
      </c>
      <c r="F7" s="6">
        <f t="shared" si="0"/>
        <v>0.15</v>
      </c>
      <c r="G7" s="1">
        <v>1200</v>
      </c>
      <c r="H7" s="1">
        <v>180</v>
      </c>
    </row>
    <row r="8" ht="13" customHeight="1" spans="1:8">
      <c r="A8" s="2" t="s">
        <v>10</v>
      </c>
      <c r="B8" s="3" t="s">
        <v>9</v>
      </c>
      <c r="C8" s="1">
        <v>2002</v>
      </c>
      <c r="D8" s="1">
        <v>2019</v>
      </c>
      <c r="E8" s="1">
        <f t="shared" si="1"/>
        <v>17</v>
      </c>
      <c r="F8" s="6">
        <f t="shared" si="0"/>
        <v>0.225</v>
      </c>
      <c r="G8" s="1">
        <v>1200</v>
      </c>
      <c r="H8" s="1">
        <v>270</v>
      </c>
    </row>
    <row r="9" ht="13" customHeight="1" spans="1:8">
      <c r="A9" s="2" t="s">
        <v>11</v>
      </c>
      <c r="B9" s="3" t="s">
        <v>9</v>
      </c>
      <c r="C9" s="1">
        <v>2017</v>
      </c>
      <c r="D9" s="1">
        <v>2019</v>
      </c>
      <c r="E9" s="1">
        <f t="shared" si="1"/>
        <v>2</v>
      </c>
      <c r="F9" s="6">
        <f t="shared" si="0"/>
        <v>2</v>
      </c>
      <c r="G9" s="1">
        <v>1200</v>
      </c>
      <c r="H9" s="7">
        <v>2400</v>
      </c>
    </row>
    <row r="10" ht="13" customHeight="1" spans="1:8">
      <c r="A10" s="2" t="s">
        <v>11</v>
      </c>
      <c r="B10" s="3" t="s">
        <v>9</v>
      </c>
      <c r="C10" s="1">
        <v>2017</v>
      </c>
      <c r="D10" s="1">
        <v>2019</v>
      </c>
      <c r="E10" s="1">
        <f t="shared" si="1"/>
        <v>2</v>
      </c>
      <c r="F10" s="6">
        <f t="shared" si="0"/>
        <v>1.2</v>
      </c>
      <c r="G10" s="1">
        <v>1200</v>
      </c>
      <c r="H10" s="7">
        <v>1440</v>
      </c>
    </row>
    <row r="11" ht="13" customHeight="1" spans="1:8">
      <c r="A11" s="2" t="s">
        <v>11</v>
      </c>
      <c r="B11" s="3" t="s">
        <v>9</v>
      </c>
      <c r="C11" s="1">
        <v>2017</v>
      </c>
      <c r="D11" s="1">
        <v>2019</v>
      </c>
      <c r="E11" s="1">
        <f t="shared" si="1"/>
        <v>2</v>
      </c>
      <c r="F11" s="6">
        <f t="shared" si="0"/>
        <v>2</v>
      </c>
      <c r="G11" s="1">
        <v>1200</v>
      </c>
      <c r="H11" s="7">
        <v>2400</v>
      </c>
    </row>
    <row r="12" spans="1:8">
      <c r="A12" s="2" t="s">
        <v>11</v>
      </c>
      <c r="B12" s="3" t="s">
        <v>9</v>
      </c>
      <c r="C12" s="1">
        <v>2017</v>
      </c>
      <c r="D12" s="1">
        <v>2019</v>
      </c>
      <c r="E12" s="1">
        <f t="shared" si="1"/>
        <v>2</v>
      </c>
      <c r="F12" s="6">
        <f t="shared" si="0"/>
        <v>2.4</v>
      </c>
      <c r="G12" s="1">
        <v>1200</v>
      </c>
      <c r="H12" s="7">
        <v>2880</v>
      </c>
    </row>
    <row r="13" spans="1:8">
      <c r="A13" s="2" t="s">
        <v>11</v>
      </c>
      <c r="B13" s="3" t="s">
        <v>9</v>
      </c>
      <c r="C13" s="1">
        <v>2017</v>
      </c>
      <c r="D13" s="1">
        <v>2020</v>
      </c>
      <c r="E13" s="1">
        <f t="shared" si="1"/>
        <v>3</v>
      </c>
      <c r="F13" s="6">
        <f t="shared" si="0"/>
        <v>0.75</v>
      </c>
      <c r="G13" s="1">
        <v>1200</v>
      </c>
      <c r="H13" s="7">
        <v>900</v>
      </c>
    </row>
    <row r="14" spans="1:8">
      <c r="A14" s="2" t="s">
        <v>11</v>
      </c>
      <c r="B14" s="3" t="s">
        <v>9</v>
      </c>
      <c r="C14" s="1">
        <v>2017</v>
      </c>
      <c r="D14" s="1">
        <v>2020</v>
      </c>
      <c r="E14" s="1">
        <f t="shared" si="1"/>
        <v>3</v>
      </c>
      <c r="F14" s="6">
        <f t="shared" si="0"/>
        <v>0.75</v>
      </c>
      <c r="G14" s="1">
        <v>1200</v>
      </c>
      <c r="H14" s="7">
        <v>900</v>
      </c>
    </row>
    <row r="15" spans="1:8">
      <c r="A15" s="2" t="s">
        <v>11</v>
      </c>
      <c r="B15" s="3" t="s">
        <v>9</v>
      </c>
      <c r="C15" s="1">
        <v>2017</v>
      </c>
      <c r="D15" s="1">
        <v>2021</v>
      </c>
      <c r="E15" s="1">
        <f t="shared" si="1"/>
        <v>4</v>
      </c>
      <c r="F15" s="6">
        <f t="shared" si="0"/>
        <v>0.234375</v>
      </c>
      <c r="G15" s="1">
        <v>1200</v>
      </c>
      <c r="H15" s="7">
        <v>281.25</v>
      </c>
    </row>
    <row r="16" spans="1:8">
      <c r="A16" s="2" t="s">
        <v>11</v>
      </c>
      <c r="B16" s="3" t="s">
        <v>9</v>
      </c>
      <c r="C16" s="1">
        <v>2017</v>
      </c>
      <c r="D16" s="1">
        <v>2021</v>
      </c>
      <c r="E16" s="1">
        <f t="shared" si="1"/>
        <v>4</v>
      </c>
      <c r="F16" s="6">
        <f t="shared" si="0"/>
        <v>0.25</v>
      </c>
      <c r="G16" s="1">
        <v>1200</v>
      </c>
      <c r="H16" s="7">
        <v>300</v>
      </c>
    </row>
    <row r="17" s="1" customFormat="1" spans="1:8">
      <c r="A17" s="2" t="s">
        <v>11</v>
      </c>
      <c r="B17" s="3" t="s">
        <v>9</v>
      </c>
      <c r="C17" s="1">
        <v>2017</v>
      </c>
      <c r="D17" s="1">
        <v>2021</v>
      </c>
      <c r="E17" s="1">
        <f t="shared" si="1"/>
        <v>4</v>
      </c>
      <c r="F17" s="6">
        <f t="shared" si="0"/>
        <v>1</v>
      </c>
      <c r="G17" s="1">
        <v>1200</v>
      </c>
      <c r="H17" s="7">
        <v>1200</v>
      </c>
    </row>
    <row r="18" s="1" customFormat="1" spans="1:8">
      <c r="A18" s="2" t="s">
        <v>11</v>
      </c>
      <c r="B18" s="3" t="s">
        <v>9</v>
      </c>
      <c r="C18" s="1">
        <v>2017</v>
      </c>
      <c r="D18" s="1">
        <v>2021</v>
      </c>
      <c r="E18" s="1">
        <f t="shared" si="1"/>
        <v>4</v>
      </c>
      <c r="F18" s="6">
        <f t="shared" si="0"/>
        <v>0.75</v>
      </c>
      <c r="G18" s="1">
        <v>1200</v>
      </c>
      <c r="H18" s="7">
        <v>900</v>
      </c>
    </row>
    <row r="19" s="1" customFormat="1" spans="1:8">
      <c r="A19" s="2" t="s">
        <v>11</v>
      </c>
      <c r="B19" s="3" t="s">
        <v>9</v>
      </c>
      <c r="C19" s="1">
        <v>2017</v>
      </c>
      <c r="D19" s="1">
        <v>2021</v>
      </c>
      <c r="E19" s="1">
        <f t="shared" si="1"/>
        <v>4</v>
      </c>
      <c r="F19" s="6">
        <f t="shared" si="0"/>
        <v>0.75</v>
      </c>
      <c r="G19" s="1">
        <v>1200</v>
      </c>
      <c r="H19" s="7">
        <v>900</v>
      </c>
    </row>
    <row r="20" s="1" customFormat="1" spans="1:8">
      <c r="A20" s="2" t="s">
        <v>12</v>
      </c>
      <c r="B20" s="3" t="s">
        <v>9</v>
      </c>
      <c r="C20" s="1">
        <v>2002</v>
      </c>
      <c r="D20" s="1">
        <v>2019</v>
      </c>
      <c r="E20" s="1">
        <f t="shared" si="1"/>
        <v>17</v>
      </c>
      <c r="F20" s="6"/>
      <c r="G20" s="1"/>
      <c r="H20" s="7">
        <v>10.8</v>
      </c>
    </row>
    <row r="21" s="1" customFormat="1" spans="1:8">
      <c r="A21" s="2" t="s">
        <v>12</v>
      </c>
      <c r="B21" s="3" t="s">
        <v>9</v>
      </c>
      <c r="C21" s="1">
        <v>2002</v>
      </c>
      <c r="D21" s="1">
        <v>2021</v>
      </c>
      <c r="E21" s="1">
        <f t="shared" si="1"/>
        <v>19</v>
      </c>
      <c r="F21" s="6"/>
      <c r="G21" s="1"/>
      <c r="H21" s="7">
        <v>10.8</v>
      </c>
    </row>
    <row r="22" ht="13" customHeight="1" spans="1:8">
      <c r="A22" s="2" t="s">
        <v>12</v>
      </c>
      <c r="B22" s="3" t="s">
        <v>9</v>
      </c>
      <c r="C22" s="1">
        <v>2002</v>
      </c>
      <c r="D22" s="1">
        <v>2019</v>
      </c>
      <c r="E22" s="1">
        <f t="shared" si="1"/>
        <v>17</v>
      </c>
      <c r="F22" s="6"/>
      <c r="H22" s="1">
        <v>630</v>
      </c>
    </row>
    <row r="23" ht="13" customHeight="1" spans="1:8">
      <c r="A23" s="2" t="s">
        <v>12</v>
      </c>
      <c r="B23" s="3" t="s">
        <v>9</v>
      </c>
      <c r="C23" s="1">
        <v>2002</v>
      </c>
      <c r="D23" s="1">
        <v>2020</v>
      </c>
      <c r="E23" s="1">
        <f t="shared" si="1"/>
        <v>18</v>
      </c>
      <c r="F23" s="6"/>
      <c r="H23" s="1">
        <v>450</v>
      </c>
    </row>
    <row r="24" ht="13" customHeight="1" spans="1:8">
      <c r="A24" s="2" t="s">
        <v>12</v>
      </c>
      <c r="B24" s="3" t="s">
        <v>9</v>
      </c>
      <c r="C24" s="1">
        <v>2002</v>
      </c>
      <c r="D24" s="1">
        <v>2019</v>
      </c>
      <c r="E24" s="1">
        <f t="shared" si="1"/>
        <v>17</v>
      </c>
      <c r="F24" s="6"/>
      <c r="H24" s="1">
        <v>630</v>
      </c>
    </row>
    <row r="25" ht="13" customHeight="1" spans="1:8">
      <c r="A25" s="2" t="s">
        <v>12</v>
      </c>
      <c r="B25" s="3" t="s">
        <v>9</v>
      </c>
      <c r="C25" s="1">
        <v>2002</v>
      </c>
      <c r="D25" s="1">
        <v>2020</v>
      </c>
      <c r="E25" s="1">
        <f t="shared" si="1"/>
        <v>18</v>
      </c>
      <c r="F25" s="6"/>
      <c r="H25" s="1">
        <v>450</v>
      </c>
    </row>
    <row r="26" ht="13" customHeight="1" spans="1:8">
      <c r="A26" s="2" t="s">
        <v>13</v>
      </c>
      <c r="B26" s="3" t="s">
        <v>9</v>
      </c>
      <c r="C26" s="1">
        <v>2017</v>
      </c>
      <c r="D26" s="1">
        <v>2019</v>
      </c>
      <c r="E26" s="1">
        <f t="shared" si="1"/>
        <v>2</v>
      </c>
      <c r="F26" s="6">
        <f t="shared" si="0"/>
        <v>1.44444444444444</v>
      </c>
      <c r="G26" s="1">
        <v>3600</v>
      </c>
      <c r="H26" s="7">
        <v>5200</v>
      </c>
    </row>
    <row r="27" ht="13" customHeight="1" spans="1:8">
      <c r="A27" s="2" t="s">
        <v>13</v>
      </c>
      <c r="B27" s="3" t="s">
        <v>9</v>
      </c>
      <c r="C27" s="1">
        <v>2017</v>
      </c>
      <c r="D27" s="1">
        <v>2019</v>
      </c>
      <c r="E27" s="1">
        <f t="shared" si="1"/>
        <v>2</v>
      </c>
      <c r="F27" s="6">
        <f t="shared" si="0"/>
        <v>1</v>
      </c>
      <c r="G27" s="1">
        <v>3600</v>
      </c>
      <c r="H27" s="7">
        <v>3600</v>
      </c>
    </row>
    <row r="28" ht="13" customHeight="1" spans="1:8">
      <c r="A28" s="2" t="s">
        <v>13</v>
      </c>
      <c r="B28" s="3" t="s">
        <v>9</v>
      </c>
      <c r="C28" s="1">
        <v>2017</v>
      </c>
      <c r="D28" s="1">
        <v>2019</v>
      </c>
      <c r="E28" s="1">
        <f t="shared" si="1"/>
        <v>2</v>
      </c>
      <c r="F28" s="6">
        <f t="shared" si="0"/>
        <v>0.625</v>
      </c>
      <c r="G28" s="1">
        <v>3600</v>
      </c>
      <c r="H28" s="7">
        <v>2250</v>
      </c>
    </row>
    <row r="29" ht="13" customHeight="1" spans="1:8">
      <c r="A29" s="2" t="s">
        <v>13</v>
      </c>
      <c r="B29" s="3" t="s">
        <v>9</v>
      </c>
      <c r="C29" s="1">
        <v>2017</v>
      </c>
      <c r="D29" s="1">
        <v>2019</v>
      </c>
      <c r="E29" s="1">
        <f t="shared" si="1"/>
        <v>2</v>
      </c>
      <c r="F29" s="6">
        <f t="shared" si="0"/>
        <v>1.2</v>
      </c>
      <c r="G29" s="1">
        <v>3600</v>
      </c>
      <c r="H29" s="7">
        <v>4320</v>
      </c>
    </row>
    <row r="30" ht="13" customHeight="1" spans="1:8">
      <c r="A30" s="2" t="s">
        <v>13</v>
      </c>
      <c r="B30" s="3" t="s">
        <v>9</v>
      </c>
      <c r="C30" s="1">
        <v>2017</v>
      </c>
      <c r="D30" s="1">
        <v>2019</v>
      </c>
      <c r="E30" s="1">
        <f t="shared" si="1"/>
        <v>2</v>
      </c>
      <c r="F30" s="6">
        <f t="shared" si="0"/>
        <v>1.22222222222222</v>
      </c>
      <c r="G30" s="1">
        <v>3600</v>
      </c>
      <c r="H30" s="7">
        <v>4400</v>
      </c>
    </row>
    <row r="31" ht="14" customHeight="1" spans="1:8">
      <c r="A31" s="2" t="s">
        <v>13</v>
      </c>
      <c r="B31" s="3" t="s">
        <v>9</v>
      </c>
      <c r="C31" s="1">
        <v>2017</v>
      </c>
      <c r="D31" s="1">
        <v>2021</v>
      </c>
      <c r="E31" s="1">
        <f t="shared" si="1"/>
        <v>4</v>
      </c>
      <c r="F31" s="6">
        <f t="shared" si="0"/>
        <v>0.333333333333333</v>
      </c>
      <c r="G31" s="1">
        <v>3600</v>
      </c>
      <c r="H31" s="7">
        <v>1200</v>
      </c>
    </row>
    <row r="32" ht="14" customHeight="1" spans="1:8">
      <c r="A32" s="2" t="s">
        <v>13</v>
      </c>
      <c r="B32" s="3" t="s">
        <v>9</v>
      </c>
      <c r="C32" s="1">
        <v>2017</v>
      </c>
      <c r="D32" s="1">
        <v>2019</v>
      </c>
      <c r="E32" s="1">
        <f t="shared" si="1"/>
        <v>2</v>
      </c>
      <c r="F32" s="6">
        <f t="shared" si="0"/>
        <v>0.6</v>
      </c>
      <c r="G32" s="1">
        <v>3600</v>
      </c>
      <c r="H32" s="7">
        <v>2160</v>
      </c>
    </row>
    <row r="33" ht="14" customHeight="1" spans="1:8">
      <c r="A33" s="2" t="s">
        <v>13</v>
      </c>
      <c r="B33" s="3" t="s">
        <v>9</v>
      </c>
      <c r="C33" s="1">
        <v>2017</v>
      </c>
      <c r="D33" s="1">
        <v>2021</v>
      </c>
      <c r="E33" s="1">
        <f t="shared" si="1"/>
        <v>4</v>
      </c>
      <c r="F33" s="6">
        <f t="shared" si="0"/>
        <v>0.166666666666667</v>
      </c>
      <c r="G33" s="1">
        <v>3600</v>
      </c>
      <c r="H33" s="1">
        <v>600</v>
      </c>
    </row>
    <row r="34" ht="14.5" customHeight="1" spans="1:8">
      <c r="A34" s="2" t="s">
        <v>13</v>
      </c>
      <c r="B34" s="3" t="s">
        <v>9</v>
      </c>
      <c r="C34" s="1">
        <v>2017</v>
      </c>
      <c r="D34" s="1">
        <v>2019</v>
      </c>
      <c r="E34" s="1">
        <f t="shared" si="1"/>
        <v>2</v>
      </c>
      <c r="F34" s="6">
        <f t="shared" si="0"/>
        <v>2</v>
      </c>
      <c r="G34" s="1">
        <v>3600</v>
      </c>
      <c r="H34" s="1">
        <v>7200</v>
      </c>
    </row>
    <row r="35" ht="14.5" customHeight="1" spans="1:8">
      <c r="A35" s="2" t="s">
        <v>13</v>
      </c>
      <c r="B35" s="3" t="s">
        <v>9</v>
      </c>
      <c r="C35" s="1">
        <v>2017</v>
      </c>
      <c r="D35" s="1">
        <v>2023</v>
      </c>
      <c r="E35" s="1">
        <f t="shared" si="1"/>
        <v>6</v>
      </c>
      <c r="F35" s="6">
        <f t="shared" si="0"/>
        <v>0.05</v>
      </c>
      <c r="G35" s="1">
        <v>3600</v>
      </c>
      <c r="H35" s="1">
        <v>180</v>
      </c>
    </row>
    <row r="36" ht="14.5" customHeight="1" spans="1:8">
      <c r="A36" s="2" t="s">
        <v>13</v>
      </c>
      <c r="B36" s="3" t="s">
        <v>9</v>
      </c>
      <c r="C36" s="1">
        <v>2017</v>
      </c>
      <c r="D36" s="1">
        <v>2023</v>
      </c>
      <c r="E36" s="1">
        <f t="shared" si="1"/>
        <v>6</v>
      </c>
      <c r="F36" s="6">
        <f t="shared" si="0"/>
        <v>0.0333333333333333</v>
      </c>
      <c r="G36" s="1">
        <v>3600</v>
      </c>
      <c r="H36" s="1">
        <v>120</v>
      </c>
    </row>
    <row r="37" ht="14.5" customHeight="1" spans="1:8">
      <c r="A37" s="2" t="s">
        <v>13</v>
      </c>
      <c r="B37" s="3" t="s">
        <v>9</v>
      </c>
      <c r="C37" s="1">
        <v>2017</v>
      </c>
      <c r="D37" s="1">
        <v>2019</v>
      </c>
      <c r="E37" s="1">
        <f t="shared" si="1"/>
        <v>2</v>
      </c>
      <c r="F37" s="6">
        <f t="shared" si="0"/>
        <v>0.625</v>
      </c>
      <c r="G37" s="1">
        <v>3600</v>
      </c>
      <c r="H37" s="1">
        <v>2250</v>
      </c>
    </row>
    <row r="38" ht="14" customHeight="1" spans="1:8">
      <c r="A38" s="2" t="s">
        <v>13</v>
      </c>
      <c r="B38" s="3" t="s">
        <v>9</v>
      </c>
      <c r="C38" s="1">
        <v>2017</v>
      </c>
      <c r="D38" s="1">
        <v>2019</v>
      </c>
      <c r="E38" s="1">
        <f t="shared" si="1"/>
        <v>2</v>
      </c>
      <c r="F38" s="6">
        <f t="shared" si="0"/>
        <v>1.66666666666667</v>
      </c>
      <c r="G38" s="1">
        <v>3600</v>
      </c>
      <c r="H38" s="1">
        <v>6000</v>
      </c>
    </row>
    <row r="39" ht="14" customHeight="1" spans="1:8">
      <c r="A39" s="2" t="s">
        <v>13</v>
      </c>
      <c r="B39" s="3" t="s">
        <v>9</v>
      </c>
      <c r="C39" s="1">
        <v>2017</v>
      </c>
      <c r="D39" s="1">
        <v>2019</v>
      </c>
      <c r="E39" s="1">
        <f t="shared" si="1"/>
        <v>2</v>
      </c>
      <c r="F39" s="6">
        <f t="shared" si="0"/>
        <v>1.2</v>
      </c>
      <c r="G39" s="1">
        <v>3600</v>
      </c>
      <c r="H39" s="1">
        <v>4320</v>
      </c>
    </row>
    <row r="40" ht="14" customHeight="1" spans="1:8">
      <c r="A40" s="2" t="s">
        <v>13</v>
      </c>
      <c r="B40" s="3" t="s">
        <v>9</v>
      </c>
      <c r="C40" s="1">
        <v>2017</v>
      </c>
      <c r="D40" s="1">
        <v>2019</v>
      </c>
      <c r="E40" s="1">
        <f t="shared" si="1"/>
        <v>2</v>
      </c>
      <c r="F40" s="6">
        <f t="shared" si="0"/>
        <v>1.66666666666667</v>
      </c>
      <c r="G40" s="1">
        <v>3600</v>
      </c>
      <c r="H40" s="1">
        <v>6000</v>
      </c>
    </row>
    <row r="41" ht="14" customHeight="1" spans="1:8">
      <c r="A41" s="2" t="s">
        <v>14</v>
      </c>
      <c r="B41" s="3" t="s">
        <v>9</v>
      </c>
      <c r="C41" s="1">
        <v>2009</v>
      </c>
      <c r="D41" s="1">
        <v>2019</v>
      </c>
      <c r="E41" s="1">
        <f t="shared" si="1"/>
        <v>10</v>
      </c>
      <c r="F41" s="6">
        <f t="shared" si="0"/>
        <v>4.8</v>
      </c>
      <c r="G41" s="1">
        <v>150</v>
      </c>
      <c r="H41" s="7">
        <v>720</v>
      </c>
    </row>
    <row r="42" ht="14" customHeight="1" spans="1:8">
      <c r="A42" s="2" t="s">
        <v>14</v>
      </c>
      <c r="B42" s="3" t="s">
        <v>9</v>
      </c>
      <c r="C42" s="1">
        <v>2009</v>
      </c>
      <c r="D42" s="1">
        <v>2020</v>
      </c>
      <c r="E42" s="1">
        <f t="shared" si="1"/>
        <v>11</v>
      </c>
      <c r="F42" s="6">
        <f t="shared" si="0"/>
        <v>2.1</v>
      </c>
      <c r="G42" s="1">
        <v>150</v>
      </c>
      <c r="H42" s="7">
        <v>315</v>
      </c>
    </row>
    <row r="43" ht="14" customHeight="1" spans="1:8">
      <c r="A43" s="2" t="s">
        <v>14</v>
      </c>
      <c r="B43" s="3" t="s">
        <v>9</v>
      </c>
      <c r="C43" s="1">
        <v>2009</v>
      </c>
      <c r="D43" s="1">
        <v>2021</v>
      </c>
      <c r="E43" s="1">
        <f t="shared" si="1"/>
        <v>12</v>
      </c>
      <c r="F43" s="6">
        <f t="shared" si="0"/>
        <v>3.2</v>
      </c>
      <c r="G43" s="1">
        <v>150</v>
      </c>
      <c r="H43" s="7">
        <v>480</v>
      </c>
    </row>
    <row r="44" ht="14" customHeight="1" spans="1:8">
      <c r="A44" s="2" t="s">
        <v>14</v>
      </c>
      <c r="B44" s="3" t="s">
        <v>9</v>
      </c>
      <c r="C44" s="1">
        <v>2009</v>
      </c>
      <c r="D44" s="1">
        <v>2024</v>
      </c>
      <c r="E44" s="1">
        <f t="shared" si="1"/>
        <v>15</v>
      </c>
      <c r="F44" s="6">
        <f t="shared" si="0"/>
        <v>0.3</v>
      </c>
      <c r="G44" s="1">
        <v>150</v>
      </c>
      <c r="H44" s="7">
        <v>45</v>
      </c>
    </row>
    <row r="45" ht="14" customHeight="1" spans="1:8">
      <c r="A45" s="2" t="s">
        <v>14</v>
      </c>
      <c r="B45" s="3" t="s">
        <v>9</v>
      </c>
      <c r="C45" s="1">
        <v>2009</v>
      </c>
      <c r="D45" s="1">
        <v>2024</v>
      </c>
      <c r="E45" s="1">
        <f t="shared" si="1"/>
        <v>15</v>
      </c>
      <c r="F45" s="6">
        <f t="shared" si="0"/>
        <v>0.12</v>
      </c>
      <c r="G45" s="1">
        <v>150</v>
      </c>
      <c r="H45" s="7">
        <v>18</v>
      </c>
    </row>
    <row r="46" ht="14" customHeight="1" spans="1:8">
      <c r="A46" s="2" t="s">
        <v>14</v>
      </c>
      <c r="B46" s="3" t="s">
        <v>9</v>
      </c>
      <c r="C46" s="1">
        <v>2009</v>
      </c>
      <c r="D46" s="1">
        <v>2019</v>
      </c>
      <c r="E46" s="1">
        <f t="shared" si="1"/>
        <v>10</v>
      </c>
      <c r="F46" s="6">
        <f t="shared" si="0"/>
        <v>3.2</v>
      </c>
      <c r="G46" s="1">
        <v>150</v>
      </c>
      <c r="H46" s="1">
        <v>480</v>
      </c>
    </row>
    <row r="47" ht="14" customHeight="1" spans="1:8">
      <c r="A47" s="2" t="s">
        <v>14</v>
      </c>
      <c r="B47" s="3" t="s">
        <v>9</v>
      </c>
      <c r="C47" s="1">
        <v>2009</v>
      </c>
      <c r="D47" s="1">
        <v>2020</v>
      </c>
      <c r="E47" s="1">
        <f t="shared" si="1"/>
        <v>11</v>
      </c>
      <c r="F47" s="6">
        <f t="shared" si="0"/>
        <v>2.1</v>
      </c>
      <c r="G47" s="1">
        <v>150</v>
      </c>
      <c r="H47" s="1">
        <v>315</v>
      </c>
    </row>
    <row r="48" ht="14" customHeight="1" spans="1:8">
      <c r="A48" s="2" t="s">
        <v>14</v>
      </c>
      <c r="B48" s="3" t="s">
        <v>9</v>
      </c>
      <c r="C48" s="1">
        <v>2009</v>
      </c>
      <c r="D48" s="1">
        <v>2024</v>
      </c>
      <c r="E48" s="1">
        <f t="shared" si="1"/>
        <v>15</v>
      </c>
      <c r="F48" s="6">
        <f t="shared" si="0"/>
        <v>0.3</v>
      </c>
      <c r="G48" s="1">
        <v>150</v>
      </c>
      <c r="H48" s="1">
        <v>45</v>
      </c>
    </row>
    <row r="49" spans="1:8">
      <c r="A49" s="2" t="s">
        <v>14</v>
      </c>
      <c r="B49" s="3" t="s">
        <v>9</v>
      </c>
      <c r="C49" s="1">
        <v>2009</v>
      </c>
      <c r="D49" s="1">
        <v>2019</v>
      </c>
      <c r="E49" s="1">
        <f t="shared" si="1"/>
        <v>10</v>
      </c>
      <c r="F49" s="6">
        <f t="shared" si="0"/>
        <v>8</v>
      </c>
      <c r="G49" s="1">
        <v>150</v>
      </c>
      <c r="H49" s="1">
        <v>1200</v>
      </c>
    </row>
    <row r="50" ht="13" customHeight="1" spans="1:8">
      <c r="A50" s="2" t="s">
        <v>15</v>
      </c>
      <c r="B50" s="3" t="s">
        <v>9</v>
      </c>
      <c r="C50" s="1">
        <v>2024</v>
      </c>
      <c r="D50" s="1">
        <v>2024</v>
      </c>
      <c r="E50" s="1">
        <v>1</v>
      </c>
      <c r="F50" s="6">
        <f t="shared" si="0"/>
        <v>3.7037037037037</v>
      </c>
      <c r="G50" s="1">
        <v>324</v>
      </c>
      <c r="H50" s="8">
        <v>1200</v>
      </c>
    </row>
    <row r="51" ht="13" customHeight="1" spans="1:8">
      <c r="A51" s="2" t="s">
        <v>15</v>
      </c>
      <c r="B51" s="3" t="s">
        <v>9</v>
      </c>
      <c r="C51" s="1">
        <v>2024</v>
      </c>
      <c r="D51" s="1">
        <v>2024</v>
      </c>
      <c r="E51" s="1">
        <v>1</v>
      </c>
      <c r="F51" s="6">
        <f t="shared" si="0"/>
        <v>3.7037037037037</v>
      </c>
      <c r="G51" s="1">
        <v>324</v>
      </c>
      <c r="H51" s="8">
        <v>1200</v>
      </c>
    </row>
    <row r="52" ht="13" customHeight="1" spans="1:8">
      <c r="A52" s="2" t="s">
        <v>15</v>
      </c>
      <c r="B52" s="3" t="s">
        <v>9</v>
      </c>
      <c r="C52" s="1">
        <v>2024</v>
      </c>
      <c r="D52" s="1">
        <v>2024</v>
      </c>
      <c r="E52" s="1">
        <v>1</v>
      </c>
      <c r="F52" s="6">
        <f t="shared" si="0"/>
        <v>3.7037037037037</v>
      </c>
      <c r="G52" s="1">
        <v>324</v>
      </c>
      <c r="H52" s="8">
        <v>1200</v>
      </c>
    </row>
    <row r="53" ht="13" customHeight="1" spans="1:8">
      <c r="A53" s="4" t="s">
        <v>15</v>
      </c>
      <c r="B53" s="3" t="s">
        <v>9</v>
      </c>
      <c r="C53" s="1">
        <v>2024</v>
      </c>
      <c r="D53" s="1">
        <v>2024</v>
      </c>
      <c r="E53" s="1">
        <v>1</v>
      </c>
      <c r="F53" s="6">
        <f t="shared" si="0"/>
        <v>3.7037037037037</v>
      </c>
      <c r="G53" s="1">
        <v>324</v>
      </c>
      <c r="H53" s="8">
        <v>1200</v>
      </c>
    </row>
    <row r="54" ht="13" customHeight="1" spans="1:8">
      <c r="A54" s="4" t="s">
        <v>15</v>
      </c>
      <c r="B54" s="3" t="s">
        <v>9</v>
      </c>
      <c r="C54" s="1">
        <v>2024</v>
      </c>
      <c r="D54" s="1">
        <v>2024</v>
      </c>
      <c r="E54" s="1">
        <v>1</v>
      </c>
      <c r="F54" s="6">
        <f t="shared" si="0"/>
        <v>5.55555555555556</v>
      </c>
      <c r="G54" s="1">
        <v>324</v>
      </c>
      <c r="H54" s="8">
        <v>1800</v>
      </c>
    </row>
    <row r="55" ht="13" customHeight="1" spans="1:8">
      <c r="A55" s="4" t="s">
        <v>15</v>
      </c>
      <c r="B55" s="3" t="s">
        <v>9</v>
      </c>
      <c r="C55" s="1">
        <v>2024</v>
      </c>
      <c r="D55" s="1">
        <v>2024</v>
      </c>
      <c r="E55" s="1">
        <v>1</v>
      </c>
      <c r="F55" s="6">
        <f t="shared" si="0"/>
        <v>4.44444444444444</v>
      </c>
      <c r="G55" s="1">
        <v>324</v>
      </c>
      <c r="H55" s="8">
        <v>1440</v>
      </c>
    </row>
    <row r="56" ht="13" customHeight="1" spans="1:8">
      <c r="A56" s="4" t="s">
        <v>15</v>
      </c>
      <c r="B56" s="3" t="s">
        <v>9</v>
      </c>
      <c r="C56" s="1">
        <v>2024</v>
      </c>
      <c r="D56" s="1">
        <v>2024</v>
      </c>
      <c r="E56" s="1">
        <v>1</v>
      </c>
      <c r="F56" s="6">
        <f t="shared" si="0"/>
        <v>11.1111111111111</v>
      </c>
      <c r="G56" s="1">
        <v>324</v>
      </c>
      <c r="H56" s="8">
        <v>3600</v>
      </c>
    </row>
    <row r="57" ht="13" customHeight="1" spans="1:8">
      <c r="A57" s="4" t="s">
        <v>15</v>
      </c>
      <c r="B57" s="3" t="s">
        <v>9</v>
      </c>
      <c r="C57" s="1">
        <v>2024</v>
      </c>
      <c r="D57" s="1">
        <v>2024</v>
      </c>
      <c r="E57" s="1">
        <v>1</v>
      </c>
      <c r="F57" s="6">
        <f t="shared" si="0"/>
        <v>9.25925925925926</v>
      </c>
      <c r="G57" s="1">
        <v>324</v>
      </c>
      <c r="H57" s="8">
        <v>3000</v>
      </c>
    </row>
    <row r="58" ht="13" customHeight="1" spans="1:8">
      <c r="A58" s="4" t="s">
        <v>15</v>
      </c>
      <c r="B58" s="3" t="s">
        <v>9</v>
      </c>
      <c r="C58" s="1">
        <v>2024</v>
      </c>
      <c r="D58" s="1">
        <v>2024</v>
      </c>
      <c r="E58" s="1">
        <v>1</v>
      </c>
      <c r="F58" s="6">
        <f t="shared" si="0"/>
        <v>5.55555555555556</v>
      </c>
      <c r="G58" s="1">
        <v>324</v>
      </c>
      <c r="H58" s="8">
        <v>1800</v>
      </c>
    </row>
    <row r="59" ht="13" customHeight="1" spans="1:8">
      <c r="A59" s="4" t="s">
        <v>15</v>
      </c>
      <c r="B59" s="3" t="s">
        <v>9</v>
      </c>
      <c r="C59" s="1">
        <v>2024</v>
      </c>
      <c r="D59" s="1">
        <v>2024</v>
      </c>
      <c r="E59" s="1">
        <v>1</v>
      </c>
      <c r="F59" s="6">
        <f t="shared" si="0"/>
        <v>7.40740740740741</v>
      </c>
      <c r="G59" s="1">
        <v>324</v>
      </c>
      <c r="H59" s="8">
        <v>2400</v>
      </c>
    </row>
    <row r="60" ht="13" customHeight="1" spans="1:8">
      <c r="A60" s="4" t="s">
        <v>15</v>
      </c>
      <c r="B60" s="3" t="s">
        <v>9</v>
      </c>
      <c r="C60" s="1">
        <v>2024</v>
      </c>
      <c r="D60" s="1">
        <v>2024</v>
      </c>
      <c r="E60" s="1">
        <v>1</v>
      </c>
      <c r="F60" s="6">
        <f t="shared" si="0"/>
        <v>7.40740740740741</v>
      </c>
      <c r="G60" s="1">
        <v>324</v>
      </c>
      <c r="H60" s="8">
        <v>2400</v>
      </c>
    </row>
    <row r="61" ht="13" customHeight="1" spans="1:8">
      <c r="A61" s="4" t="s">
        <v>15</v>
      </c>
      <c r="B61" s="3" t="s">
        <v>9</v>
      </c>
      <c r="C61" s="1">
        <v>2024</v>
      </c>
      <c r="D61" s="1">
        <v>2024</v>
      </c>
      <c r="E61" s="1">
        <v>1</v>
      </c>
      <c r="F61" s="6">
        <f t="shared" si="0"/>
        <v>7.40740740740741</v>
      </c>
      <c r="G61" s="1">
        <v>324</v>
      </c>
      <c r="H61" s="8">
        <v>2400</v>
      </c>
    </row>
    <row r="62" ht="13" customHeight="1" spans="1:8">
      <c r="A62" s="4" t="s">
        <v>15</v>
      </c>
      <c r="B62" s="3" t="s">
        <v>9</v>
      </c>
      <c r="C62" s="1">
        <v>2024</v>
      </c>
      <c r="D62" s="1">
        <v>2024</v>
      </c>
      <c r="E62" s="1">
        <v>1</v>
      </c>
      <c r="F62" s="6">
        <f t="shared" si="0"/>
        <v>16.6666666666667</v>
      </c>
      <c r="G62" s="1">
        <v>324</v>
      </c>
      <c r="H62" s="8">
        <v>5400</v>
      </c>
    </row>
    <row r="63" ht="13" customHeight="1" spans="1:8">
      <c r="A63" s="4" t="s">
        <v>15</v>
      </c>
      <c r="B63" s="3" t="s">
        <v>9</v>
      </c>
      <c r="C63" s="1">
        <v>2024</v>
      </c>
      <c r="D63" s="1">
        <v>2024</v>
      </c>
      <c r="E63" s="1">
        <v>1</v>
      </c>
      <c r="F63" s="6">
        <f t="shared" si="0"/>
        <v>11.1111111111111</v>
      </c>
      <c r="G63" s="1">
        <v>324</v>
      </c>
      <c r="H63" s="8">
        <v>3600</v>
      </c>
    </row>
    <row r="64" ht="13" customHeight="1" spans="1:8">
      <c r="A64" s="4" t="s">
        <v>15</v>
      </c>
      <c r="B64" s="3" t="s">
        <v>9</v>
      </c>
      <c r="C64" s="1">
        <v>2024</v>
      </c>
      <c r="D64" s="1">
        <v>2024</v>
      </c>
      <c r="E64" s="1">
        <v>1</v>
      </c>
      <c r="F64" s="6">
        <f t="shared" si="0"/>
        <v>2.96296296296296</v>
      </c>
      <c r="G64" s="1">
        <v>324</v>
      </c>
      <c r="H64" s="8">
        <v>960</v>
      </c>
    </row>
    <row r="65" ht="13" customHeight="1" spans="1:8">
      <c r="A65" s="4" t="s">
        <v>15</v>
      </c>
      <c r="B65" s="3" t="s">
        <v>9</v>
      </c>
      <c r="C65" s="1">
        <v>2024</v>
      </c>
      <c r="D65" s="1">
        <v>2024</v>
      </c>
      <c r="E65" s="1">
        <v>1</v>
      </c>
      <c r="F65" s="6">
        <f t="shared" si="0"/>
        <v>16.6666666666667</v>
      </c>
      <c r="G65" s="1">
        <v>324</v>
      </c>
      <c r="H65" s="8">
        <v>5400</v>
      </c>
    </row>
    <row r="66" ht="13" customHeight="1" spans="1:8">
      <c r="A66" s="4" t="s">
        <v>15</v>
      </c>
      <c r="B66" s="3" t="s">
        <v>9</v>
      </c>
      <c r="C66" s="1">
        <v>2024</v>
      </c>
      <c r="D66" s="1">
        <v>2024</v>
      </c>
      <c r="E66" s="1">
        <v>1</v>
      </c>
      <c r="F66" s="6">
        <f t="shared" si="0"/>
        <v>18.5185185185185</v>
      </c>
      <c r="G66" s="1">
        <v>324</v>
      </c>
      <c r="H66" s="8">
        <v>6000</v>
      </c>
    </row>
    <row r="67" spans="1:8">
      <c r="A67" s="2" t="s">
        <v>16</v>
      </c>
      <c r="B67" s="3" t="s">
        <v>9</v>
      </c>
      <c r="C67" s="1">
        <v>2007</v>
      </c>
      <c r="D67" s="1">
        <v>2019</v>
      </c>
      <c r="E67" s="1">
        <f t="shared" ref="E67:E76" si="2">D67-C67</f>
        <v>12</v>
      </c>
      <c r="F67" s="6"/>
      <c r="H67" s="7">
        <v>3000</v>
      </c>
    </row>
    <row r="68" spans="1:8">
      <c r="A68" s="2" t="s">
        <v>17</v>
      </c>
      <c r="B68" s="3" t="s">
        <v>18</v>
      </c>
      <c r="C68" s="1">
        <v>2016</v>
      </c>
      <c r="D68" s="1">
        <v>2018</v>
      </c>
      <c r="E68" s="1">
        <f t="shared" si="2"/>
        <v>2</v>
      </c>
      <c r="F68" s="6">
        <f t="shared" ref="F68:F79" si="3">H68/G68</f>
        <v>0.833333333333333</v>
      </c>
      <c r="G68" s="1">
        <v>900</v>
      </c>
      <c r="H68" s="7">
        <v>750</v>
      </c>
    </row>
    <row r="69" spans="1:8">
      <c r="A69" s="2" t="s">
        <v>17</v>
      </c>
      <c r="B69" s="3" t="s">
        <v>18</v>
      </c>
      <c r="C69" s="1">
        <v>2016</v>
      </c>
      <c r="D69" s="1">
        <v>2019</v>
      </c>
      <c r="E69" s="1">
        <f t="shared" si="2"/>
        <v>3</v>
      </c>
      <c r="F69" s="6">
        <f t="shared" si="3"/>
        <v>0.8</v>
      </c>
      <c r="G69" s="1">
        <v>900</v>
      </c>
      <c r="H69" s="7">
        <v>720</v>
      </c>
    </row>
    <row r="70" spans="1:8">
      <c r="A70" s="2" t="s">
        <v>17</v>
      </c>
      <c r="B70" s="3" t="s">
        <v>18</v>
      </c>
      <c r="C70" s="1">
        <v>2016</v>
      </c>
      <c r="D70" s="1">
        <v>2019</v>
      </c>
      <c r="E70" s="1">
        <f t="shared" si="2"/>
        <v>3</v>
      </c>
      <c r="F70" s="6">
        <f t="shared" si="3"/>
        <v>0.8</v>
      </c>
      <c r="G70" s="1">
        <v>900</v>
      </c>
      <c r="H70" s="7">
        <v>720</v>
      </c>
    </row>
    <row r="71" spans="1:8">
      <c r="A71" s="2" t="s">
        <v>17</v>
      </c>
      <c r="B71" s="3" t="s">
        <v>18</v>
      </c>
      <c r="C71" s="1">
        <v>2016</v>
      </c>
      <c r="D71" s="1">
        <v>2020</v>
      </c>
      <c r="E71" s="1">
        <f t="shared" si="2"/>
        <v>4</v>
      </c>
      <c r="F71" s="6">
        <f t="shared" si="3"/>
        <v>0.666666666666667</v>
      </c>
      <c r="G71" s="1">
        <v>900</v>
      </c>
      <c r="H71" s="7">
        <v>600</v>
      </c>
    </row>
    <row r="72" spans="1:8">
      <c r="A72" s="2" t="s">
        <v>17</v>
      </c>
      <c r="B72" s="3" t="s">
        <v>18</v>
      </c>
      <c r="C72" s="1">
        <v>2016</v>
      </c>
      <c r="D72" s="1">
        <v>2020</v>
      </c>
      <c r="E72" s="1">
        <f t="shared" si="2"/>
        <v>4</v>
      </c>
      <c r="F72" s="6">
        <f t="shared" si="3"/>
        <v>0.8</v>
      </c>
      <c r="G72" s="1">
        <v>900</v>
      </c>
      <c r="H72" s="7">
        <v>720</v>
      </c>
    </row>
    <row r="73" spans="1:8">
      <c r="A73" s="2" t="s">
        <v>17</v>
      </c>
      <c r="B73" s="3" t="s">
        <v>18</v>
      </c>
      <c r="C73" s="1">
        <v>2016</v>
      </c>
      <c r="D73" s="1">
        <v>2021</v>
      </c>
      <c r="E73" s="1">
        <f t="shared" si="2"/>
        <v>5</v>
      </c>
      <c r="F73" s="6">
        <f t="shared" si="3"/>
        <v>1</v>
      </c>
      <c r="G73" s="1">
        <v>900</v>
      </c>
      <c r="H73" s="7">
        <v>900</v>
      </c>
    </row>
    <row r="74" spans="1:8">
      <c r="A74" s="2" t="s">
        <v>17</v>
      </c>
      <c r="B74" s="3" t="s">
        <v>18</v>
      </c>
      <c r="C74" s="1">
        <v>2016</v>
      </c>
      <c r="D74" s="1">
        <v>2023</v>
      </c>
      <c r="E74" s="1">
        <f t="shared" si="2"/>
        <v>7</v>
      </c>
      <c r="F74" s="6">
        <f t="shared" si="3"/>
        <v>0.016</v>
      </c>
      <c r="G74" s="1">
        <v>900</v>
      </c>
      <c r="H74" s="7">
        <v>14.4</v>
      </c>
    </row>
    <row r="75" spans="1:8">
      <c r="A75" s="2" t="s">
        <v>19</v>
      </c>
      <c r="B75" s="3" t="s">
        <v>9</v>
      </c>
      <c r="C75" s="1">
        <v>2011</v>
      </c>
      <c r="D75" s="1">
        <v>2013</v>
      </c>
      <c r="E75" s="1">
        <f t="shared" si="2"/>
        <v>2</v>
      </c>
      <c r="F75" s="6">
        <f t="shared" si="3"/>
        <v>1.84966666666667</v>
      </c>
      <c r="G75" s="1">
        <v>1800</v>
      </c>
      <c r="H75" s="1">
        <v>3329.4</v>
      </c>
    </row>
    <row r="76" spans="1:8">
      <c r="A76" s="2" t="s">
        <v>19</v>
      </c>
      <c r="B76" s="3" t="s">
        <v>9</v>
      </c>
      <c r="C76" s="1">
        <v>2011</v>
      </c>
      <c r="D76" s="1">
        <v>2013</v>
      </c>
      <c r="E76" s="1">
        <f t="shared" si="2"/>
        <v>2</v>
      </c>
      <c r="F76" s="6">
        <f t="shared" si="3"/>
        <v>0.914077777777778</v>
      </c>
      <c r="G76" s="1">
        <v>1800</v>
      </c>
      <c r="H76" s="1">
        <v>1645.34</v>
      </c>
    </row>
    <row r="77" spans="1:8">
      <c r="A77" s="4" t="s">
        <v>20</v>
      </c>
      <c r="B77" s="3" t="s">
        <v>9</v>
      </c>
      <c r="C77" s="9"/>
      <c r="D77" s="9"/>
      <c r="E77" s="9">
        <v>13</v>
      </c>
      <c r="F77" s="6">
        <f t="shared" si="3"/>
        <v>4.92760579153668</v>
      </c>
      <c r="G77" s="9">
        <v>1875.15</v>
      </c>
      <c r="H77" s="9">
        <v>9240</v>
      </c>
    </row>
    <row r="78" spans="1:8">
      <c r="A78" s="4" t="s">
        <v>20</v>
      </c>
      <c r="B78" s="3" t="s">
        <v>9</v>
      </c>
      <c r="C78" s="9"/>
      <c r="D78" s="9"/>
      <c r="E78" s="9">
        <v>13</v>
      </c>
      <c r="F78" s="6">
        <f t="shared" si="3"/>
        <v>1.05591552675786</v>
      </c>
      <c r="G78" s="9">
        <v>1875.15</v>
      </c>
      <c r="H78" s="9">
        <v>1980</v>
      </c>
    </row>
    <row r="79" spans="1:8">
      <c r="A79" s="4" t="s">
        <v>20</v>
      </c>
      <c r="B79" s="3" t="s">
        <v>9</v>
      </c>
      <c r="C79" s="9"/>
      <c r="D79" s="9"/>
      <c r="E79" s="9">
        <v>13</v>
      </c>
      <c r="F79" s="6">
        <f t="shared" si="3"/>
        <v>0.336613070954324</v>
      </c>
      <c r="G79" s="9">
        <v>1875.15</v>
      </c>
      <c r="H79" s="9">
        <v>631.2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registration duration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Mu, Hongyu</dc:creator>
  <cp:lastModifiedBy>lihua</cp:lastModifiedBy>
  <dcterms:created xsi:type="dcterms:W3CDTF">2024-10-14T21:46:00Z</dcterms:created>
  <dcterms:modified xsi:type="dcterms:W3CDTF">2025-11-20T21:12:54Z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8BED7D7AC1EAE486770121677904B02B_42</vt:lpwstr>
  </property>
  <property fmtid="{D5CDD505-2E9C-101B-9397-08002B2CF9AE}" pid="3" name="KSOProductBuildVer">
    <vt:lpwstr>2052-12.1.22218.22218</vt:lpwstr>
  </property>
</Properties>
</file>